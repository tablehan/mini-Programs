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IR_UX430\Documents\"/>
    </mc:Choice>
  </mc:AlternateContent>
  <bookViews>
    <workbookView xWindow="0" yWindow="0" windowWidth="19170" windowHeight="6825"/>
  </bookViews>
  <sheets>
    <sheet name="工作表1" sheetId="1" r:id="rId1"/>
  </sheets>
  <definedNames>
    <definedName name="solver_adj" localSheetId="0" hidden="1">工作表1!$C$14:$E$14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工作表1!$F$3:$F$11</definedName>
    <definedName name="solver_lhs2" localSheetId="0" hidden="1">工作表1!$F$3:$F$11</definedName>
    <definedName name="solver_lhs3" localSheetId="0" hidden="1">工作表1!$F$3:$F$11</definedName>
    <definedName name="solver_lhs4" localSheetId="0" hidden="1">工作表1!$F$3:$F$11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工作表1!$B$15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1</definedName>
    <definedName name="solver_rhs2" localSheetId="0" hidden="1">1</definedName>
    <definedName name="solver_rhs3" localSheetId="0" hidden="1">1</definedName>
    <definedName name="solver_rhs4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G10" i="1" s="1"/>
  <c r="F4" i="1"/>
  <c r="G4" i="1" s="1"/>
  <c r="F5" i="1" l="1"/>
  <c r="G5" i="1" s="1"/>
  <c r="F6" i="1"/>
  <c r="G6" i="1" s="1"/>
  <c r="F7" i="1"/>
  <c r="G7" i="1" s="1"/>
  <c r="F8" i="1"/>
  <c r="G8" i="1" s="1"/>
  <c r="F9" i="1"/>
  <c r="G9" i="1" s="1"/>
  <c r="F11" i="1"/>
  <c r="G11" i="1" s="1"/>
  <c r="F3" i="1"/>
  <c r="G3" i="1" s="1"/>
  <c r="B15" i="1" l="1"/>
</calcChain>
</file>

<file path=xl/sharedStrings.xml><?xml version="1.0" encoding="utf-8"?>
<sst xmlns="http://schemas.openxmlformats.org/spreadsheetml/2006/main" count="27" uniqueCount="23">
  <si>
    <t>Tags</t>
  </si>
  <si>
    <t>產出變數</t>
    <phoneticPr fontId="2" type="noConversion"/>
  </si>
  <si>
    <t>w1</t>
    <phoneticPr fontId="2" type="noConversion"/>
  </si>
  <si>
    <t>w2</t>
    <phoneticPr fontId="2" type="noConversion"/>
  </si>
  <si>
    <t>w3</t>
    <phoneticPr fontId="2" type="noConversion"/>
  </si>
  <si>
    <t>Efficency</t>
    <phoneticPr fontId="2" type="noConversion"/>
  </si>
  <si>
    <t>firms</t>
    <phoneticPr fontId="2" type="noConversion"/>
  </si>
  <si>
    <t>output</t>
    <phoneticPr fontId="2" type="noConversion"/>
  </si>
  <si>
    <t>權重計算</t>
    <phoneticPr fontId="2" type="noConversion"/>
  </si>
  <si>
    <t>單位</t>
    <phoneticPr fontId="2" type="noConversion"/>
  </si>
  <si>
    <t>單位A</t>
    <phoneticPr fontId="2" type="noConversion"/>
  </si>
  <si>
    <t>單位B</t>
    <phoneticPr fontId="2" type="noConversion"/>
  </si>
  <si>
    <t>單位C</t>
    <phoneticPr fontId="2" type="noConversion"/>
  </si>
  <si>
    <t>單位D</t>
    <phoneticPr fontId="2" type="noConversion"/>
  </si>
  <si>
    <t>單位E</t>
    <phoneticPr fontId="2" type="noConversion"/>
  </si>
  <si>
    <t>單位F</t>
    <phoneticPr fontId="2" type="noConversion"/>
  </si>
  <si>
    <t>單位G</t>
    <phoneticPr fontId="2" type="noConversion"/>
  </si>
  <si>
    <t>單位H</t>
    <phoneticPr fontId="2" type="noConversion"/>
  </si>
  <si>
    <t>單位I</t>
    <phoneticPr fontId="2" type="noConversion"/>
  </si>
  <si>
    <t>貢獻1</t>
    <phoneticPr fontId="2" type="noConversion"/>
  </si>
  <si>
    <t>貢獻2</t>
    <phoneticPr fontId="2" type="noConversion"/>
  </si>
  <si>
    <t>貢獻3</t>
    <phoneticPr fontId="2" type="noConversion"/>
  </si>
  <si>
    <t>效率值(評分)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</si>
</sst>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2" borderId="2" xfId="0" applyFill="1" applyBorder="1" applyAlignment="1">
      <alignment vertical="center" wrapText="1"/>
    </xf>
    <xf numFmtId="0" fontId="0" fillId="2" borderId="2" xfId="0" applyFill="1" applyBorder="1">
      <alignment vertical="center"/>
    </xf>
    <xf numFmtId="0" fontId="0" fillId="0" borderId="0" xfId="0" applyFill="1">
      <alignment vertical="center"/>
    </xf>
    <xf numFmtId="0" fontId="0" fillId="2" borderId="0" xfId="0" applyFill="1" applyBorder="1">
      <alignment vertical="center"/>
    </xf>
    <xf numFmtId="0" fontId="0" fillId="3" borderId="2" xfId="0" applyFill="1" applyBorder="1">
      <alignment vertical="center"/>
    </xf>
    <xf numFmtId="0" fontId="3" fillId="0" borderId="2" xfId="0" applyFont="1" applyBorder="1">
      <alignment vertical="center"/>
    </xf>
    <xf numFmtId="0" fontId="0" fillId="0" borderId="0" xfId="0" applyFill="1" applyBorder="1">
      <alignment vertical="center"/>
    </xf>
    <xf numFmtId="10" fontId="0" fillId="0" borderId="0" xfId="1" applyNumberFormat="1" applyFont="1">
      <alignment vertical="center"/>
    </xf>
    <xf numFmtId="0" fontId="0" fillId="0" borderId="2" xfId="0" applyFill="1" applyBorder="1">
      <alignment vertical="center"/>
    </xf>
    <xf numFmtId="0" fontId="0" fillId="4" borderId="2" xfId="0" applyFill="1" applyBorder="1">
      <alignment vertical="center"/>
    </xf>
    <xf numFmtId="0" fontId="0" fillId="5" borderId="2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</cellXfs>
  <cellStyles count="2">
    <cellStyle name="一般" xfId="0" builtinId="0"/>
    <cellStyle name="百分比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15"/>
  <sheetViews>
    <sheetView tabSelected="1" workbookViewId="0">
      <selection activeCell="K18" sqref="K18"/>
    </sheetView>
  </sheetViews>
  <sheetFormatPr defaultRowHeight="16.5" x14ac:dyDescent="0.25"/>
  <cols>
    <col min="1" max="1" width="17.125" customWidth="1"/>
    <col min="2" max="2" width="15" hidden="1" customWidth="1"/>
    <col min="6" max="6" width="14.875" hidden="1" customWidth="1"/>
    <col min="7" max="7" width="9" hidden="1" customWidth="1"/>
    <col min="8" max="8" width="14.75" customWidth="1"/>
    <col min="11" max="11" width="11.25" customWidth="1"/>
  </cols>
  <sheetData>
    <row r="1" spans="1:11" x14ac:dyDescent="0.25">
      <c r="A1" s="14" t="s">
        <v>9</v>
      </c>
      <c r="B1" s="14" t="s">
        <v>0</v>
      </c>
      <c r="C1" s="15" t="s">
        <v>1</v>
      </c>
      <c r="D1" s="15"/>
      <c r="E1" s="15"/>
      <c r="F1" s="16" t="s">
        <v>7</v>
      </c>
      <c r="G1" s="16" t="s">
        <v>5</v>
      </c>
      <c r="H1" s="12" t="s">
        <v>22</v>
      </c>
      <c r="I1" s="18" t="s">
        <v>8</v>
      </c>
      <c r="J1" s="18"/>
      <c r="K1" s="18"/>
    </row>
    <row r="2" spans="1:11" x14ac:dyDescent="0.25">
      <c r="A2" s="14"/>
      <c r="B2" s="14"/>
      <c r="C2" s="1" t="s">
        <v>19</v>
      </c>
      <c r="D2" s="1" t="s">
        <v>20</v>
      </c>
      <c r="E2" s="1" t="s">
        <v>21</v>
      </c>
      <c r="F2" s="17"/>
      <c r="G2" s="17"/>
      <c r="H2" s="13"/>
      <c r="I2" s="11" t="s">
        <v>2</v>
      </c>
      <c r="J2" s="11" t="s">
        <v>3</v>
      </c>
      <c r="K2" s="11" t="s">
        <v>4</v>
      </c>
    </row>
    <row r="3" spans="1:11" x14ac:dyDescent="0.25">
      <c r="A3" s="9" t="s">
        <v>10</v>
      </c>
      <c r="B3" s="9">
        <v>1</v>
      </c>
      <c r="C3" s="2">
        <v>1000</v>
      </c>
      <c r="D3" s="2">
        <v>60</v>
      </c>
      <c r="E3" s="2">
        <v>60</v>
      </c>
      <c r="F3" s="5">
        <f t="shared" ref="F3:F11" si="0">SUMPRODUCT(C3:E3,$C$14:$E$14)</f>
        <v>1</v>
      </c>
      <c r="G3" s="5">
        <f>F3</f>
        <v>1</v>
      </c>
      <c r="H3" s="10">
        <v>1</v>
      </c>
      <c r="I3" s="11">
        <v>1E-3</v>
      </c>
      <c r="J3" s="11">
        <v>0</v>
      </c>
      <c r="K3" s="11">
        <v>0</v>
      </c>
    </row>
    <row r="4" spans="1:11" x14ac:dyDescent="0.25">
      <c r="A4" s="9" t="s">
        <v>11</v>
      </c>
      <c r="B4" s="9">
        <v>2</v>
      </c>
      <c r="C4" s="2">
        <v>500</v>
      </c>
      <c r="D4" s="2">
        <v>100</v>
      </c>
      <c r="E4" s="2">
        <v>50</v>
      </c>
      <c r="F4" s="5">
        <f t="shared" si="0"/>
        <v>0.64393939393939381</v>
      </c>
      <c r="G4" s="5">
        <f t="shared" ref="G4:G11" si="1">F4</f>
        <v>0.64393939393939381</v>
      </c>
      <c r="H4" s="10">
        <v>1</v>
      </c>
      <c r="I4" s="11">
        <v>0</v>
      </c>
      <c r="J4" s="11">
        <v>0.01</v>
      </c>
      <c r="K4" s="11">
        <v>0</v>
      </c>
    </row>
    <row r="5" spans="1:11" x14ac:dyDescent="0.25">
      <c r="A5" s="9" t="s">
        <v>12</v>
      </c>
      <c r="B5" s="9">
        <v>3</v>
      </c>
      <c r="C5" s="2">
        <v>400</v>
      </c>
      <c r="D5" s="2">
        <v>40</v>
      </c>
      <c r="E5" s="2">
        <v>100</v>
      </c>
      <c r="F5" s="5">
        <f t="shared" si="0"/>
        <v>0.50505050505050508</v>
      </c>
      <c r="G5" s="5">
        <f t="shared" si="1"/>
        <v>0.50505050505050508</v>
      </c>
      <c r="H5" s="10">
        <v>1</v>
      </c>
      <c r="I5" s="11">
        <v>0</v>
      </c>
      <c r="J5" s="11">
        <v>0</v>
      </c>
      <c r="K5" s="11">
        <v>0.01</v>
      </c>
    </row>
    <row r="6" spans="1:11" x14ac:dyDescent="0.25">
      <c r="A6" s="9" t="s">
        <v>13</v>
      </c>
      <c r="B6" s="9">
        <v>4</v>
      </c>
      <c r="C6" s="2">
        <v>900</v>
      </c>
      <c r="D6" s="2">
        <v>90</v>
      </c>
      <c r="E6" s="2">
        <v>90</v>
      </c>
      <c r="F6" s="5">
        <f t="shared" si="0"/>
        <v>1</v>
      </c>
      <c r="G6" s="5">
        <f t="shared" si="1"/>
        <v>1</v>
      </c>
      <c r="H6" s="10">
        <v>1</v>
      </c>
      <c r="I6" s="11">
        <v>8.3333333333333339E-4</v>
      </c>
      <c r="J6" s="11">
        <v>1.7676767676767658E-3</v>
      </c>
      <c r="K6" s="11">
        <v>1.0101010101010114E-3</v>
      </c>
    </row>
    <row r="7" spans="1:11" x14ac:dyDescent="0.25">
      <c r="A7" s="9" t="s">
        <v>14</v>
      </c>
      <c r="B7" s="9">
        <v>5</v>
      </c>
      <c r="C7" s="2">
        <v>920</v>
      </c>
      <c r="D7" s="2">
        <v>92</v>
      </c>
      <c r="E7" s="2">
        <v>70</v>
      </c>
      <c r="F7" s="5">
        <f t="shared" si="0"/>
        <v>1</v>
      </c>
      <c r="G7" s="5">
        <f t="shared" si="1"/>
        <v>1</v>
      </c>
      <c r="H7" s="10">
        <v>1</v>
      </c>
      <c r="I7" s="11">
        <v>8.6956521739130449E-4</v>
      </c>
      <c r="J7" s="11">
        <v>2.1739130434782596E-3</v>
      </c>
      <c r="K7" s="11">
        <v>0</v>
      </c>
    </row>
    <row r="8" spans="1:11" x14ac:dyDescent="0.25">
      <c r="A8" s="9" t="s">
        <v>15</v>
      </c>
      <c r="B8" s="9">
        <v>6</v>
      </c>
      <c r="C8" s="2">
        <v>920</v>
      </c>
      <c r="D8" s="2">
        <v>71</v>
      </c>
      <c r="E8" s="2">
        <v>92</v>
      </c>
      <c r="F8" s="5">
        <f t="shared" si="0"/>
        <v>0.98510101010101014</v>
      </c>
      <c r="G8" s="5">
        <f t="shared" si="1"/>
        <v>0.98510101010101014</v>
      </c>
      <c r="H8" s="10">
        <v>1</v>
      </c>
      <c r="I8" s="11">
        <v>8.6956521739130449E-4</v>
      </c>
      <c r="J8" s="11">
        <v>0</v>
      </c>
      <c r="K8" s="11">
        <v>2.1739130434782596E-3</v>
      </c>
    </row>
    <row r="9" spans="1:11" x14ac:dyDescent="0.25">
      <c r="A9" s="9" t="s">
        <v>16</v>
      </c>
      <c r="B9" s="9">
        <v>7</v>
      </c>
      <c r="C9" s="2">
        <v>800</v>
      </c>
      <c r="D9" s="2">
        <v>92</v>
      </c>
      <c r="E9" s="2">
        <v>92</v>
      </c>
      <c r="F9" s="5">
        <f t="shared" si="0"/>
        <v>0.92222222222222228</v>
      </c>
      <c r="G9" s="5">
        <f t="shared" si="1"/>
        <v>0.92222222222222228</v>
      </c>
      <c r="H9" s="10">
        <v>1</v>
      </c>
      <c r="I9" s="11">
        <v>1.3538461538461531E-4</v>
      </c>
      <c r="J9" s="11">
        <v>8.9538461538461542E-3</v>
      </c>
      <c r="K9" s="11">
        <v>7.3846153846153951E-4</v>
      </c>
    </row>
    <row r="10" spans="1:11" x14ac:dyDescent="0.25">
      <c r="A10" s="9" t="s">
        <v>17</v>
      </c>
      <c r="B10" s="9">
        <v>8</v>
      </c>
      <c r="C10" s="2">
        <v>100</v>
      </c>
      <c r="D10" s="2">
        <v>10</v>
      </c>
      <c r="E10" s="2">
        <v>12</v>
      </c>
      <c r="F10" s="5">
        <f t="shared" si="0"/>
        <v>0.11313131313131314</v>
      </c>
      <c r="G10" s="5">
        <f>F10</f>
        <v>0.11313131313131314</v>
      </c>
      <c r="H10" s="10">
        <v>0.12874617737003061</v>
      </c>
      <c r="I10" s="11">
        <v>1.07033639143731E-4</v>
      </c>
      <c r="J10" s="11">
        <v>6.1162079510703555E-4</v>
      </c>
      <c r="K10" s="11">
        <v>9.3272171253822624E-3</v>
      </c>
    </row>
    <row r="11" spans="1:11" x14ac:dyDescent="0.25">
      <c r="A11" s="9" t="s">
        <v>18</v>
      </c>
      <c r="B11" s="9">
        <v>9</v>
      </c>
      <c r="C11" s="2">
        <v>890</v>
      </c>
      <c r="D11" s="2">
        <v>89</v>
      </c>
      <c r="E11" s="2">
        <v>89</v>
      </c>
      <c r="F11" s="5">
        <f t="shared" si="0"/>
        <v>0.98888888888888893</v>
      </c>
      <c r="G11" s="5">
        <f t="shared" si="1"/>
        <v>0.98888888888888893</v>
      </c>
      <c r="H11" s="10">
        <v>0.98888888888888893</v>
      </c>
      <c r="I11" s="11">
        <v>8.3333333333333339E-4</v>
      </c>
      <c r="J11" s="11">
        <v>1.7676767676767658E-3</v>
      </c>
      <c r="K11" s="11">
        <v>1.0101010101010114E-3</v>
      </c>
    </row>
    <row r="13" spans="1:11" x14ac:dyDescent="0.25">
      <c r="C13" t="s">
        <v>2</v>
      </c>
      <c r="D13" t="s">
        <v>3</v>
      </c>
      <c r="E13" t="s">
        <v>4</v>
      </c>
    </row>
    <row r="14" spans="1:11" x14ac:dyDescent="0.25">
      <c r="A14" s="6" t="s">
        <v>6</v>
      </c>
      <c r="B14" s="6">
        <v>9</v>
      </c>
      <c r="C14" s="4">
        <v>8.3333333333333339E-4</v>
      </c>
      <c r="D14" s="4">
        <v>1.7676767676767658E-3</v>
      </c>
      <c r="E14" s="4">
        <v>1.0101010101010114E-3</v>
      </c>
      <c r="F14" s="7"/>
    </row>
    <row r="15" spans="1:11" x14ac:dyDescent="0.25">
      <c r="A15" s="6" t="s">
        <v>5</v>
      </c>
      <c r="B15" s="6">
        <f>INDEX(C3:G11,B14,5)</f>
        <v>0.98888888888888893</v>
      </c>
      <c r="C15" s="8"/>
      <c r="D15" s="8"/>
      <c r="E15" s="8"/>
      <c r="F15" s="3"/>
    </row>
  </sheetData>
  <mergeCells count="7">
    <mergeCell ref="I1:K1"/>
    <mergeCell ref="H1:H2"/>
    <mergeCell ref="A1:A2"/>
    <mergeCell ref="B1:B2"/>
    <mergeCell ref="C1:E1"/>
    <mergeCell ref="G1:G2"/>
    <mergeCell ref="F1:F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OIR_UX430</dc:creator>
  <cp:lastModifiedBy>OIR_UX430</cp:lastModifiedBy>
  <dcterms:created xsi:type="dcterms:W3CDTF">2019-01-23T09:03:40Z</dcterms:created>
  <dcterms:modified xsi:type="dcterms:W3CDTF">2019-06-14T06:44:07Z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a2c1c3e4-954a-4360-b97b-1eb2a880d604</vt:lpwstr>
  </property>
</Properties>
</file>